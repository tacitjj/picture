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中展\展云通\知识库\"/>
    </mc:Choice>
  </mc:AlternateContent>
  <xr:revisionPtr revIDLastSave="0" documentId="13_ncr:1_{06C0F429-33ED-4499-91BA-BD9F40D42D79}" xr6:coauthVersionLast="47" xr6:coauthVersionMax="47" xr10:uidLastSave="{00000000-0000-0000-0000-000000000000}"/>
  <bookViews>
    <workbookView xWindow="-98" yWindow="-98" windowWidth="28996" windowHeight="15675" tabRatio="808" xr2:uid="{00000000-000D-0000-FFFF-FFFF00000000}"/>
  </bookViews>
  <sheets>
    <sheet name="报价单" sheetId="20" r:id="rId1"/>
    <sheet name="Cheil差旅费" sheetId="18" state="hidden" r:id="rId2"/>
    <sheet name="Cheil fee" sheetId="19" state="hidden" r:id="rId3"/>
  </sheets>
  <externalReferences>
    <externalReference r:id="rId4"/>
  </externalReferences>
  <definedNames>
    <definedName name="_111">#REF!</definedName>
    <definedName name="_11111">#REF!</definedName>
    <definedName name="_1111111">#REF!</definedName>
    <definedName name="Account_Services">#REF!</definedName>
    <definedName name="Client">#REF!</definedName>
    <definedName name="ClientDivision">[1]Cadastro!$B$3:$B$10</definedName>
    <definedName name="Clients">#REF!</definedName>
    <definedName name="Contact">#REF!</definedName>
    <definedName name="Job_Title">#REF!</definedName>
    <definedName name="JobTitle">#REF!</definedName>
    <definedName name="Production">#REF!</definedName>
    <definedName name="Project_Management">#REF!</definedName>
    <definedName name="Ratecard">#REF!</definedName>
  </definedNames>
  <calcPr calcId="191029"/>
</workbook>
</file>

<file path=xl/calcChain.xml><?xml version="1.0" encoding="utf-8"?>
<calcChain xmlns="http://schemas.openxmlformats.org/spreadsheetml/2006/main">
  <c r="I17" i="20" l="1"/>
  <c r="I15" i="20"/>
  <c r="I13" i="20"/>
  <c r="I11" i="20"/>
  <c r="I9" i="20"/>
  <c r="I7" i="20"/>
  <c r="I6" i="20"/>
  <c r="I12" i="20" l="1"/>
  <c r="I16" i="20"/>
  <c r="I10" i="20"/>
  <c r="I14" i="20"/>
  <c r="I8" i="20"/>
  <c r="I5" i="20"/>
  <c r="L8" i="19"/>
  <c r="L7" i="19"/>
  <c r="L6" i="19"/>
  <c r="L5" i="19"/>
  <c r="K5" i="19"/>
  <c r="J5" i="19"/>
  <c r="L4" i="19"/>
  <c r="K4" i="19"/>
  <c r="J4" i="19"/>
  <c r="H8" i="18"/>
  <c r="H7" i="18"/>
  <c r="H6" i="18"/>
  <c r="H5" i="18"/>
  <c r="H4" i="18"/>
  <c r="I18" i="20" l="1"/>
  <c r="I19" i="20" l="1"/>
  <c r="I20" i="20" s="1"/>
  <c r="I21" i="20" s="1"/>
</calcChain>
</file>

<file path=xl/sharedStrings.xml><?xml version="1.0" encoding="utf-8"?>
<sst xmlns="http://schemas.openxmlformats.org/spreadsheetml/2006/main" count="92" uniqueCount="76">
  <si>
    <t>王坤</t>
  </si>
  <si>
    <t>序号</t>
  </si>
  <si>
    <t>项目</t>
  </si>
  <si>
    <t>细节描述及备注信息
【材质/工艺；型号/尺寸（长L/款W/高H/厚D）；人数天数】</t>
  </si>
  <si>
    <t>预算</t>
  </si>
  <si>
    <t>实费/定额</t>
  </si>
  <si>
    <t>备注</t>
  </si>
  <si>
    <t>数量</t>
  </si>
  <si>
    <t>单位</t>
  </si>
  <si>
    <t>天数</t>
  </si>
  <si>
    <t>单价</t>
  </si>
  <si>
    <t>总价</t>
  </si>
  <si>
    <t>一、策划/设计</t>
  </si>
  <si>
    <t>小计：</t>
  </si>
  <si>
    <t>项</t>
  </si>
  <si>
    <t>二、搭建制作</t>
  </si>
  <si>
    <t>三、第三方人员</t>
  </si>
  <si>
    <t>四、运营物料</t>
  </si>
  <si>
    <t>五、场地相关</t>
  </si>
  <si>
    <t>六、执行公司</t>
  </si>
  <si>
    <t>费用合计：</t>
  </si>
  <si>
    <t>服务费（10%）：</t>
  </si>
  <si>
    <t>税费（6%）：</t>
  </si>
  <si>
    <t>费用总计：</t>
  </si>
  <si>
    <t>Cheil差旅费</t>
  </si>
  <si>
    <t>NO.</t>
  </si>
  <si>
    <t>内容</t>
  </si>
  <si>
    <t>费用</t>
  </si>
  <si>
    <t>差旅费</t>
  </si>
  <si>
    <t>北京-深圳机票往返</t>
  </si>
  <si>
    <t>次</t>
  </si>
  <si>
    <t>住宿费</t>
  </si>
  <si>
    <t>出差酒店住宿费</t>
  </si>
  <si>
    <t>天</t>
  </si>
  <si>
    <t>交通费</t>
  </si>
  <si>
    <t>本地交通费</t>
  </si>
  <si>
    <t>日当</t>
  </si>
  <si>
    <t>合计</t>
  </si>
  <si>
    <r>
      <rPr>
        <b/>
        <sz val="14"/>
        <color theme="1"/>
        <rFont val="Samsung Sharp Sans Bold"/>
        <family val="1"/>
      </rPr>
      <t>2025</t>
    </r>
    <r>
      <rPr>
        <b/>
        <sz val="14"/>
        <color theme="1"/>
        <rFont val="微软雅黑"/>
        <family val="2"/>
        <charset val="134"/>
      </rPr>
      <t>年</t>
    </r>
    <r>
      <rPr>
        <b/>
        <sz val="14"/>
        <color theme="1"/>
        <rFont val="Samsung Sharp Sans Bold"/>
        <family val="1"/>
      </rPr>
      <t xml:space="preserve"> </t>
    </r>
    <r>
      <rPr>
        <b/>
        <sz val="14"/>
        <color theme="1"/>
        <rFont val="微软雅黑"/>
        <family val="2"/>
        <charset val="134"/>
      </rPr>
      <t>九州汽车生态博览会</t>
    </r>
    <r>
      <rPr>
        <b/>
        <sz val="14"/>
        <color theme="1"/>
        <rFont val="Samsung Sharp Sans Bold"/>
        <family val="1"/>
      </rPr>
      <t>-</t>
    </r>
    <r>
      <rPr>
        <b/>
        <sz val="14"/>
        <color theme="1"/>
        <rFont val="微软雅黑"/>
        <family val="2"/>
        <charset val="134"/>
      </rPr>
      <t>三星</t>
    </r>
    <r>
      <rPr>
        <b/>
        <sz val="14"/>
        <color theme="1"/>
        <rFont val="Samsung Sharp Sans Bold"/>
        <family val="1"/>
      </rPr>
      <t>MEM</t>
    </r>
    <r>
      <rPr>
        <b/>
        <sz val="14"/>
        <color theme="1"/>
        <rFont val="微软雅黑"/>
        <family val="2"/>
        <charset val="134"/>
      </rPr>
      <t>展</t>
    </r>
    <r>
      <rPr>
        <b/>
        <sz val="14"/>
        <color theme="1"/>
        <rFont val="Samsung Sharp Sans Bold"/>
        <family val="1"/>
      </rPr>
      <t xml:space="preserve"> CHEIL FEE</t>
    </r>
  </si>
  <si>
    <t>区分</t>
  </si>
  <si>
    <t>业务内容</t>
  </si>
  <si>
    <t>姓名</t>
  </si>
  <si>
    <t>级别</t>
  </si>
  <si>
    <t>R &amp; R</t>
  </si>
  <si>
    <t>Yearly Based Cost</t>
  </si>
  <si>
    <t>月度投入百分比</t>
  </si>
  <si>
    <t xml:space="preserve"> FTE SUM </t>
  </si>
  <si>
    <t>年度投入百分比</t>
  </si>
  <si>
    <t>Total Cost (CNY)</t>
  </si>
  <si>
    <t>一月</t>
  </si>
  <si>
    <t>二月</t>
  </si>
  <si>
    <t>三月</t>
  </si>
  <si>
    <t>CGC</t>
  </si>
  <si>
    <t>项目经理</t>
  </si>
  <si>
    <t>姬昌志</t>
  </si>
  <si>
    <t>C4</t>
  </si>
  <si>
    <t>项目策划、前期沟通总对接</t>
  </si>
  <si>
    <t>项目执行</t>
  </si>
  <si>
    <t>C3</t>
  </si>
  <si>
    <t>项目执行,现场沟通总对接</t>
  </si>
  <si>
    <t>Grand Total</t>
  </si>
  <si>
    <t>Grand Total（含税 6.77%）</t>
  </si>
  <si>
    <t>PP金额</t>
  </si>
  <si>
    <t>Before Tax（未税6%）</t>
  </si>
  <si>
    <t>C4-3</t>
  </si>
  <si>
    <t>Senior AD</t>
  </si>
  <si>
    <t>Account Director</t>
  </si>
  <si>
    <t>Account Manager</t>
  </si>
  <si>
    <t>C2</t>
  </si>
  <si>
    <t>Account Executive</t>
  </si>
  <si>
    <t>C1</t>
  </si>
  <si>
    <t>Account Support</t>
  </si>
  <si>
    <t>项目时间：
项目地点：
执行公司：</t>
    <phoneticPr fontId="25" type="noConversion"/>
  </si>
  <si>
    <t>项目名称</t>
    <phoneticPr fontId="25" type="noConversion"/>
  </si>
  <si>
    <t>区域/板块</t>
    <phoneticPr fontId="25" type="noConversion"/>
  </si>
  <si>
    <t>XX项目_报价单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</si>
</sst>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[$¥-804]* #,##0_ ;_ [$¥-804]* \-#,##0_ ;_ [$¥-804]* &quot;-&quot;??_ ;_ @_ "/>
    <numFmt numFmtId="177" formatCode="[$¥-804]#,##0"/>
    <numFmt numFmtId="178" formatCode="_ * #,##0_ ;_ * \-#,##0_ ;_ 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Samsung Sharp Sans Bold"/>
      <family val="1"/>
    </font>
    <font>
      <b/>
      <sz val="10"/>
      <color theme="1" tint="4.9989318521683403E-2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3"/>
      <color theme="3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0"/>
      <name val="Arial"/>
      <family val="2"/>
    </font>
    <font>
      <u/>
      <sz val="11"/>
      <color rgb="FF0000FF"/>
      <name val="宋体"/>
      <family val="3"/>
      <charset val="134"/>
    </font>
    <font>
      <sz val="10"/>
      <color indexed="8"/>
      <name val="Arial"/>
      <family val="2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784844508194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</borders>
  <cellStyleXfs count="16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4" fillId="0" borderId="0"/>
    <xf numFmtId="0" fontId="15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>
      <protection locked="0"/>
    </xf>
    <xf numFmtId="0" fontId="18" fillId="0" borderId="0">
      <alignment vertical="center"/>
    </xf>
    <xf numFmtId="0" fontId="24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20" fillId="0" borderId="0"/>
    <xf numFmtId="0" fontId="21" fillId="0" borderId="0">
      <protection locked="0"/>
    </xf>
    <xf numFmtId="0" fontId="22" fillId="0" borderId="0"/>
    <xf numFmtId="176" fontId="24" fillId="0" borderId="0">
      <alignment vertical="center"/>
    </xf>
    <xf numFmtId="0" fontId="23" fillId="0" borderId="0"/>
    <xf numFmtId="176" fontId="23" fillId="0" borderId="0"/>
  </cellStyleXfs>
  <cellXfs count="89">
    <xf numFmtId="0" fontId="0" fillId="0" borderId="0" xfId="0">
      <alignment vertical="center"/>
    </xf>
    <xf numFmtId="0" fontId="0" fillId="0" borderId="0" xfId="0" applyAlignment="1"/>
    <xf numFmtId="49" fontId="2" fillId="2" borderId="1" xfId="14" applyNumberFormat="1" applyFont="1" applyFill="1" applyBorder="1" applyAlignment="1">
      <alignment horizontal="center" vertical="center" wrapText="1" readingOrder="1"/>
    </xf>
    <xf numFmtId="49" fontId="4" fillId="0" borderId="1" xfId="14" applyNumberFormat="1" applyFont="1" applyBorder="1" applyAlignment="1">
      <alignment horizontal="center" vertical="center" wrapText="1" readingOrder="1"/>
    </xf>
    <xf numFmtId="177" fontId="4" fillId="0" borderId="1" xfId="14" applyNumberFormat="1" applyFont="1" applyBorder="1" applyAlignment="1">
      <alignment horizontal="center" vertical="center" wrapText="1" readingOrder="1"/>
    </xf>
    <xf numFmtId="0" fontId="4" fillId="3" borderId="1" xfId="14" applyFont="1" applyFill="1" applyBorder="1" applyAlignment="1">
      <alignment vertical="center" wrapText="1" readingOrder="1"/>
    </xf>
    <xf numFmtId="49" fontId="4" fillId="3" borderId="1" xfId="14" applyNumberFormat="1" applyFont="1" applyFill="1" applyBorder="1" applyAlignment="1">
      <alignment horizontal="center" vertical="center" wrapText="1" readingOrder="1"/>
    </xf>
    <xf numFmtId="0" fontId="5" fillId="0" borderId="1" xfId="2" applyFont="1" applyBorder="1" applyAlignment="1">
      <alignment horizontal="center" vertical="center"/>
    </xf>
    <xf numFmtId="178" fontId="6" fillId="0" borderId="1" xfId="1" applyNumberFormat="1" applyFont="1" applyFill="1" applyBorder="1" applyAlignment="1">
      <alignment horizontal="center"/>
    </xf>
    <xf numFmtId="0" fontId="6" fillId="6" borderId="1" xfId="2" applyFont="1" applyFill="1" applyBorder="1" applyAlignment="1">
      <alignment horizontal="center" vertical="center" wrapText="1"/>
    </xf>
    <xf numFmtId="3" fontId="4" fillId="3" borderId="1" xfId="14" applyNumberFormat="1" applyFont="1" applyFill="1" applyBorder="1" applyAlignment="1">
      <alignment vertical="center" wrapText="1" readingOrder="1"/>
    </xf>
    <xf numFmtId="10" fontId="4" fillId="3" borderId="1" xfId="14" applyNumberFormat="1" applyFont="1" applyFill="1" applyBorder="1" applyAlignment="1">
      <alignment vertical="center" wrapText="1" readingOrder="1"/>
    </xf>
    <xf numFmtId="4" fontId="4" fillId="3" borderId="1" xfId="14" applyNumberFormat="1" applyFont="1" applyFill="1" applyBorder="1" applyAlignment="1">
      <alignment vertical="center" wrapText="1" readingOrder="1"/>
    </xf>
    <xf numFmtId="4" fontId="3" fillId="4" borderId="1" xfId="14" applyNumberFormat="1" applyFont="1" applyFill="1" applyBorder="1" applyAlignment="1">
      <alignment vertical="center" wrapText="1" readingOrder="1"/>
    </xf>
    <xf numFmtId="4" fontId="7" fillId="5" borderId="1" xfId="14" applyNumberFormat="1" applyFont="1" applyFill="1" applyBorder="1" applyAlignment="1">
      <alignment horizontal="right" vertical="center" wrapText="1" readingOrder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5" fillId="3" borderId="0" xfId="0" applyFont="1" applyFill="1">
      <alignment vertical="center"/>
    </xf>
    <xf numFmtId="49" fontId="5" fillId="0" borderId="0" xfId="0" applyNumberFormat="1" applyFont="1" applyAlignment="1">
      <alignment horizontal="center" vertical="center"/>
    </xf>
    <xf numFmtId="43" fontId="5" fillId="0" borderId="0" xfId="1" applyFont="1">
      <alignment vertical="center"/>
    </xf>
    <xf numFmtId="178" fontId="5" fillId="0" borderId="0" xfId="1" applyNumberFormat="1" applyFont="1">
      <alignment vertical="center"/>
    </xf>
    <xf numFmtId="0" fontId="9" fillId="4" borderId="1" xfId="0" applyFont="1" applyFill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43" fontId="5" fillId="0" borderId="1" xfId="1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43" fontId="11" fillId="3" borderId="1" xfId="1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43" fontId="9" fillId="7" borderId="1" xfId="1" applyFont="1" applyFill="1" applyBorder="1" applyAlignment="1">
      <alignment horizontal="right" vertical="center"/>
    </xf>
    <xf numFmtId="178" fontId="9" fillId="7" borderId="1" xfId="1" applyNumberFormat="1" applyFont="1" applyFill="1" applyBorder="1" applyAlignment="1">
      <alignment horizontal="right" vertical="center"/>
    </xf>
    <xf numFmtId="178" fontId="5" fillId="0" borderId="1" xfId="1" applyNumberFormat="1" applyFont="1" applyBorder="1" applyAlignment="1">
      <alignment horizontal="center" vertical="center"/>
    </xf>
    <xf numFmtId="178" fontId="5" fillId="3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3" fillId="8" borderId="1" xfId="0" applyFont="1" applyFill="1" applyBorder="1">
      <alignment vertical="center"/>
    </xf>
    <xf numFmtId="43" fontId="13" fillId="8" borderId="1" xfId="1" applyFont="1" applyFill="1" applyBorder="1">
      <alignment vertical="center"/>
    </xf>
    <xf numFmtId="0" fontId="12" fillId="8" borderId="1" xfId="0" applyFont="1" applyFill="1" applyBorder="1">
      <alignment vertical="center"/>
    </xf>
    <xf numFmtId="43" fontId="12" fillId="8" borderId="1" xfId="1" applyFont="1" applyFill="1" applyBorder="1">
      <alignment vertical="center"/>
    </xf>
    <xf numFmtId="0" fontId="13" fillId="9" borderId="1" xfId="0" applyFont="1" applyFill="1" applyBorder="1">
      <alignment vertical="center"/>
    </xf>
    <xf numFmtId="43" fontId="13" fillId="9" borderId="1" xfId="1" applyFont="1" applyFill="1" applyBorder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49" fontId="14" fillId="0" borderId="0" xfId="0" applyNumberFormat="1" applyFont="1" applyAlignment="1">
      <alignment horizontal="center" vertical="center"/>
    </xf>
    <xf numFmtId="43" fontId="13" fillId="8" borderId="1" xfId="1" applyFont="1" applyFill="1" applyBorder="1" applyAlignment="1">
      <alignment vertical="center"/>
    </xf>
    <xf numFmtId="178" fontId="13" fillId="8" borderId="1" xfId="1" applyNumberFormat="1" applyFont="1" applyFill="1" applyBorder="1" applyAlignment="1">
      <alignment vertical="center"/>
    </xf>
    <xf numFmtId="43" fontId="13" fillId="9" borderId="1" xfId="1" applyFont="1" applyFill="1" applyBorder="1" applyAlignment="1">
      <alignment vertical="center"/>
    </xf>
    <xf numFmtId="178" fontId="13" fillId="9" borderId="1" xfId="1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right" vertical="center"/>
    </xf>
    <xf numFmtId="178" fontId="9" fillId="4" borderId="5" xfId="1" applyNumberFormat="1" applyFont="1" applyFill="1" applyBorder="1" applyAlignment="1">
      <alignment horizontal="center" vertical="center"/>
    </xf>
    <xf numFmtId="178" fontId="9" fillId="4" borderId="6" xfId="1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5" borderId="1" xfId="14" applyFont="1" applyFill="1" applyBorder="1" applyAlignment="1">
      <alignment horizontal="right" vertical="center" wrapText="1" readingOrder="1"/>
    </xf>
    <xf numFmtId="49" fontId="3" fillId="5" borderId="1" xfId="14" applyNumberFormat="1" applyFont="1" applyFill="1" applyBorder="1" applyAlignment="1">
      <alignment horizontal="center" vertical="center" wrapText="1" readingOrder="1"/>
    </xf>
    <xf numFmtId="49" fontId="2" fillId="2" borderId="1" xfId="14" applyNumberFormat="1" applyFont="1" applyFill="1" applyBorder="1" applyAlignment="1">
      <alignment horizontal="center" vertical="center" wrapText="1" readingOrder="1"/>
    </xf>
    <xf numFmtId="49" fontId="3" fillId="0" borderId="1" xfId="14" applyNumberFormat="1" applyFont="1" applyBorder="1" applyAlignment="1">
      <alignment horizontal="center" vertical="center" wrapText="1" readingOrder="1"/>
    </xf>
    <xf numFmtId="0" fontId="2" fillId="2" borderId="1" xfId="14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49" fontId="4" fillId="4" borderId="1" xfId="14" applyNumberFormat="1" applyFont="1" applyFill="1" applyBorder="1" applyAlignment="1">
      <alignment horizontal="center" vertical="center" wrapText="1" readingOrder="1"/>
    </xf>
    <xf numFmtId="3" fontId="3" fillId="4" borderId="1" xfId="14" applyNumberFormat="1" applyFont="1" applyFill="1" applyBorder="1" applyAlignment="1">
      <alignment horizontal="center" vertical="center" wrapText="1" readingOrder="1"/>
    </xf>
    <xf numFmtId="49" fontId="4" fillId="4" borderId="1" xfId="14" applyNumberFormat="1" applyFont="1" applyFill="1" applyBorder="1" applyAlignment="1">
      <alignment horizontal="right" vertical="center" wrapText="1" readingOrder="1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</cellXfs>
  <cellStyles count="16">
    <cellStyle name="RowLevel_8" xfId="2" xr:uid="{00000000-0005-0000-0000-000031000000}"/>
    <cellStyle name="标题 2 2" xfId="3" xr:uid="{00000000-0005-0000-0000-000032000000}"/>
    <cellStyle name="标题 5" xfId="4" xr:uid="{00000000-0005-0000-0000-000033000000}"/>
    <cellStyle name="常规" xfId="0" builtinId="0"/>
    <cellStyle name="常规 2" xfId="5" xr:uid="{00000000-0005-0000-0000-000034000000}"/>
    <cellStyle name="常规 3" xfId="6" xr:uid="{00000000-0005-0000-0000-000035000000}"/>
    <cellStyle name="常规 3 2" xfId="7" xr:uid="{00000000-0005-0000-0000-000036000000}"/>
    <cellStyle name="常规 4" xfId="8" xr:uid="{00000000-0005-0000-0000-000037000000}"/>
    <cellStyle name="常规 4 2" xfId="9" xr:uid="{00000000-0005-0000-0000-000038000000}"/>
    <cellStyle name="常规 8" xfId="10" xr:uid="{00000000-0005-0000-0000-000039000000}"/>
    <cellStyle name="超链接 2" xfId="11" xr:uid="{00000000-0005-0000-0000-00003A000000}"/>
    <cellStyle name="千位分隔" xfId="1" builtinId="3"/>
    <cellStyle name="표준 2 10 3" xfId="12" xr:uid="{00000000-0005-0000-0000-00003B000000}"/>
    <cellStyle name="표준 2 3" xfId="13" xr:uid="{00000000-0005-0000-0000-00003C000000}"/>
    <cellStyle name="표준 7" xfId="14" xr:uid="{00000000-0005-0000-0000-00003D000000}"/>
    <cellStyle name="표준_Sheet1" xfId="15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cast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"/>
      <sheetName val="Master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8938-9103-4706-881E-98C1F37413B1}">
  <dimension ref="A1:K31"/>
  <sheetViews>
    <sheetView tabSelected="1" zoomScale="90" zoomScaleNormal="90" workbookViewId="0">
      <selection activeCell="C6" sqref="C6"/>
    </sheetView>
  </sheetViews>
  <sheetFormatPr defaultColWidth="9" defaultRowHeight="13.9"/>
  <cols>
    <col min="1" max="1" width="5.86328125" style="21" customWidth="1"/>
    <col min="2" max="2" width="17.3984375" style="21" customWidth="1"/>
    <col min="3" max="3" width="33" style="16" customWidth="1"/>
    <col min="4" max="4" width="79.6640625" style="15" customWidth="1"/>
    <col min="5" max="7" width="7.46484375" style="15" customWidth="1"/>
    <col min="8" max="8" width="12.86328125" style="22" customWidth="1"/>
    <col min="9" max="9" width="15.53125" style="22" customWidth="1"/>
    <col min="10" max="10" width="9.46484375" style="23" customWidth="1"/>
    <col min="11" max="11" width="25.86328125" style="15" customWidth="1"/>
    <col min="12" max="16384" width="9" style="15"/>
  </cols>
  <sheetData>
    <row r="1" spans="1:11" ht="39" customHeight="1">
      <c r="A1" s="61" t="s">
        <v>75</v>
      </c>
      <c r="B1" s="61"/>
      <c r="C1" s="61"/>
      <c r="D1" s="61"/>
      <c r="J1" s="15"/>
    </row>
    <row r="2" spans="1:11" ht="55.8" customHeight="1">
      <c r="A2" s="62" t="s">
        <v>72</v>
      </c>
      <c r="B2" s="62"/>
      <c r="C2" s="62"/>
      <c r="D2" s="62"/>
      <c r="J2" s="15"/>
    </row>
    <row r="3" spans="1:11" ht="20" customHeight="1">
      <c r="A3" s="63" t="s">
        <v>1</v>
      </c>
      <c r="B3" s="87" t="s">
        <v>74</v>
      </c>
      <c r="C3" s="63" t="s">
        <v>73</v>
      </c>
      <c r="D3" s="64" t="s">
        <v>3</v>
      </c>
      <c r="E3" s="69" t="s">
        <v>4</v>
      </c>
      <c r="F3" s="70"/>
      <c r="G3" s="70"/>
      <c r="H3" s="70"/>
      <c r="I3" s="71"/>
      <c r="J3" s="67" t="s">
        <v>5</v>
      </c>
      <c r="K3" s="63" t="s">
        <v>6</v>
      </c>
    </row>
    <row r="4" spans="1:11" ht="20" customHeight="1">
      <c r="A4" s="63"/>
      <c r="B4" s="88"/>
      <c r="C4" s="63"/>
      <c r="D4" s="63"/>
      <c r="E4" s="24" t="s">
        <v>7</v>
      </c>
      <c r="F4" s="24" t="s">
        <v>8</v>
      </c>
      <c r="G4" s="24" t="s">
        <v>9</v>
      </c>
      <c r="H4" s="25" t="s">
        <v>10</v>
      </c>
      <c r="I4" s="25" t="s">
        <v>11</v>
      </c>
      <c r="J4" s="68"/>
      <c r="K4" s="63"/>
    </row>
    <row r="5" spans="1:11" s="19" customFormat="1" ht="20" customHeight="1">
      <c r="A5" s="65" t="s">
        <v>12</v>
      </c>
      <c r="B5" s="65"/>
      <c r="C5" s="65"/>
      <c r="D5" s="65"/>
      <c r="E5" s="66" t="s">
        <v>13</v>
      </c>
      <c r="F5" s="66"/>
      <c r="G5" s="66"/>
      <c r="H5" s="66"/>
      <c r="I5" s="40">
        <f>SUM(I6:I7)</f>
        <v>0</v>
      </c>
      <c r="J5" s="41"/>
      <c r="K5" s="41"/>
    </row>
    <row r="6" spans="1:11" ht="20" customHeight="1">
      <c r="A6" s="17">
        <v>1</v>
      </c>
      <c r="B6" s="17"/>
      <c r="C6" s="26"/>
      <c r="D6" s="27"/>
      <c r="E6" s="26"/>
      <c r="F6" s="26"/>
      <c r="G6" s="26"/>
      <c r="H6" s="28"/>
      <c r="I6" s="28">
        <f>H6*G6*E6</f>
        <v>0</v>
      </c>
      <c r="J6" s="42"/>
      <c r="K6" s="18"/>
    </row>
    <row r="7" spans="1:11" ht="20" customHeight="1">
      <c r="A7" s="17">
        <v>2</v>
      </c>
      <c r="B7" s="17"/>
      <c r="C7" s="17"/>
      <c r="D7" s="29"/>
      <c r="E7" s="17"/>
      <c r="F7" s="17"/>
      <c r="G7" s="17"/>
      <c r="H7" s="30"/>
      <c r="I7" s="28">
        <f>H7*G7*E7</f>
        <v>0</v>
      </c>
      <c r="J7" s="42"/>
      <c r="K7" s="18"/>
    </row>
    <row r="8" spans="1:11" s="19" customFormat="1" ht="20" customHeight="1">
      <c r="A8" s="65" t="s">
        <v>15</v>
      </c>
      <c r="B8" s="65"/>
      <c r="C8" s="65"/>
      <c r="D8" s="65"/>
      <c r="E8" s="66" t="s">
        <v>13</v>
      </c>
      <c r="F8" s="66"/>
      <c r="G8" s="66"/>
      <c r="H8" s="66"/>
      <c r="I8" s="40">
        <f>SUM(I9:I9)</f>
        <v>0</v>
      </c>
      <c r="J8" s="41"/>
      <c r="K8" s="41"/>
    </row>
    <row r="9" spans="1:11" ht="20" customHeight="1">
      <c r="A9" s="17">
        <v>1</v>
      </c>
      <c r="B9" s="17"/>
      <c r="C9" s="44"/>
      <c r="D9" s="29"/>
      <c r="E9" s="17"/>
      <c r="F9" s="17"/>
      <c r="G9" s="17"/>
      <c r="H9" s="30"/>
      <c r="I9" s="28">
        <f>H9*G9*E9</f>
        <v>0</v>
      </c>
      <c r="J9" s="42"/>
      <c r="K9" s="18"/>
    </row>
    <row r="10" spans="1:11" s="19" customFormat="1" ht="19.8" customHeight="1">
      <c r="A10" s="65" t="s">
        <v>16</v>
      </c>
      <c r="B10" s="65"/>
      <c r="C10" s="65"/>
      <c r="D10" s="65"/>
      <c r="E10" s="66" t="s">
        <v>13</v>
      </c>
      <c r="F10" s="66"/>
      <c r="G10" s="66"/>
      <c r="H10" s="66"/>
      <c r="I10" s="40">
        <f>SUM(I11:I11)</f>
        <v>0</v>
      </c>
      <c r="J10" s="41"/>
      <c r="K10" s="41"/>
    </row>
    <row r="11" spans="1:11" s="20" customFormat="1" ht="45" customHeight="1">
      <c r="A11" s="31">
        <v>1</v>
      </c>
      <c r="B11" s="31"/>
      <c r="C11" s="32"/>
      <c r="D11" s="33"/>
      <c r="E11" s="34"/>
      <c r="F11" s="35"/>
      <c r="G11" s="34"/>
      <c r="H11" s="36"/>
      <c r="I11" s="36">
        <f>H11*G11*E11</f>
        <v>0</v>
      </c>
      <c r="J11" s="43"/>
      <c r="K11" s="39"/>
    </row>
    <row r="12" spans="1:11" s="19" customFormat="1" ht="20" customHeight="1">
      <c r="A12" s="65" t="s">
        <v>17</v>
      </c>
      <c r="B12" s="65"/>
      <c r="C12" s="65"/>
      <c r="D12" s="65"/>
      <c r="E12" s="66" t="s">
        <v>13</v>
      </c>
      <c r="F12" s="66"/>
      <c r="G12" s="66"/>
      <c r="H12" s="66"/>
      <c r="I12" s="40">
        <f>SUM(I13:I13)</f>
        <v>0</v>
      </c>
      <c r="J12" s="41"/>
      <c r="K12" s="41"/>
    </row>
    <row r="13" spans="1:11" s="20" customFormat="1" ht="20" customHeight="1">
      <c r="A13" s="31">
        <v>1</v>
      </c>
      <c r="B13" s="31"/>
      <c r="C13" s="37"/>
      <c r="D13" s="39"/>
      <c r="E13" s="34"/>
      <c r="F13" s="34"/>
      <c r="G13" s="34"/>
      <c r="H13" s="38"/>
      <c r="I13" s="36">
        <f>H13*E13*G13</f>
        <v>0</v>
      </c>
      <c r="J13" s="43"/>
      <c r="K13" s="31"/>
    </row>
    <row r="14" spans="1:11" s="19" customFormat="1" ht="20" customHeight="1">
      <c r="A14" s="65" t="s">
        <v>18</v>
      </c>
      <c r="B14" s="65"/>
      <c r="C14" s="65"/>
      <c r="D14" s="65"/>
      <c r="E14" s="66" t="s">
        <v>13</v>
      </c>
      <c r="F14" s="66"/>
      <c r="G14" s="66"/>
      <c r="H14" s="66"/>
      <c r="I14" s="40">
        <f>SUM(I15:I15)</f>
        <v>0</v>
      </c>
      <c r="J14" s="41"/>
      <c r="K14" s="41"/>
    </row>
    <row r="15" spans="1:11" ht="20" customHeight="1">
      <c r="A15" s="17">
        <v>1</v>
      </c>
      <c r="B15" s="17"/>
      <c r="C15" s="44"/>
      <c r="D15" s="29"/>
      <c r="E15" s="26"/>
      <c r="F15" s="26"/>
      <c r="G15" s="26"/>
      <c r="H15" s="30"/>
      <c r="I15" s="30">
        <f t="shared" ref="I15" si="0">E15*G15*H15</f>
        <v>0</v>
      </c>
      <c r="J15" s="42"/>
      <c r="K15" s="31"/>
    </row>
    <row r="16" spans="1:11" ht="20" customHeight="1">
      <c r="A16" s="65" t="s">
        <v>19</v>
      </c>
      <c r="B16" s="65"/>
      <c r="C16" s="65"/>
      <c r="D16" s="65"/>
      <c r="E16" s="66" t="s">
        <v>13</v>
      </c>
      <c r="F16" s="66"/>
      <c r="G16" s="66"/>
      <c r="H16" s="66"/>
      <c r="I16" s="40">
        <f>SUM(I17:I17)</f>
        <v>0</v>
      </c>
      <c r="J16" s="41"/>
      <c r="K16" s="41"/>
    </row>
    <row r="17" spans="1:11" ht="20" customHeight="1">
      <c r="A17" s="17">
        <v>1</v>
      </c>
      <c r="B17" s="17"/>
      <c r="C17" s="44"/>
      <c r="D17" s="29"/>
      <c r="E17" s="26"/>
      <c r="F17" s="26"/>
      <c r="G17" s="26"/>
      <c r="H17" s="30"/>
      <c r="I17" s="30">
        <f t="shared" ref="I17" si="1">E17*G17*H17</f>
        <v>0</v>
      </c>
      <c r="J17" s="42"/>
      <c r="K17" s="17"/>
    </row>
    <row r="18" spans="1:11" ht="20" customHeight="1">
      <c r="A18" s="73" t="s">
        <v>20</v>
      </c>
      <c r="B18" s="73"/>
      <c r="C18" s="73"/>
      <c r="D18" s="73"/>
      <c r="E18" s="45"/>
      <c r="F18" s="45"/>
      <c r="G18" s="45"/>
      <c r="H18" s="46"/>
      <c r="I18" s="57">
        <f>I5+I8+I14+I16+I12+I10</f>
        <v>0</v>
      </c>
      <c r="J18" s="58"/>
      <c r="K18" s="58"/>
    </row>
    <row r="19" spans="1:11" ht="20" customHeight="1">
      <c r="A19" s="73" t="s">
        <v>21</v>
      </c>
      <c r="B19" s="73"/>
      <c r="C19" s="73"/>
      <c r="D19" s="73"/>
      <c r="E19" s="47"/>
      <c r="F19" s="47"/>
      <c r="G19" s="47"/>
      <c r="H19" s="48"/>
      <c r="I19" s="57">
        <f>(I18-I16-I14-I5)*10%</f>
        <v>0</v>
      </c>
      <c r="J19" s="45"/>
      <c r="K19" s="45"/>
    </row>
    <row r="20" spans="1:11" ht="20" customHeight="1">
      <c r="A20" s="73" t="s">
        <v>22</v>
      </c>
      <c r="B20" s="73"/>
      <c r="C20" s="73"/>
      <c r="D20" s="73"/>
      <c r="E20" s="45"/>
      <c r="F20" s="45"/>
      <c r="G20" s="45"/>
      <c r="H20" s="46"/>
      <c r="I20" s="57">
        <f>(I18+I19)*6%</f>
        <v>0</v>
      </c>
      <c r="J20" s="58"/>
      <c r="K20" s="58"/>
    </row>
    <row r="21" spans="1:11" ht="20" customHeight="1">
      <c r="A21" s="72" t="s">
        <v>23</v>
      </c>
      <c r="B21" s="72"/>
      <c r="C21" s="72"/>
      <c r="D21" s="72"/>
      <c r="E21" s="49"/>
      <c r="F21" s="49"/>
      <c r="G21" s="49"/>
      <c r="H21" s="50"/>
      <c r="I21" s="59">
        <f>SUM(I18:I20)</f>
        <v>0</v>
      </c>
      <c r="J21" s="60"/>
      <c r="K21" s="60"/>
    </row>
    <row r="23" spans="1:11" ht="20" customHeight="1">
      <c r="A23" s="51"/>
      <c r="B23" s="51"/>
      <c r="C23" s="19"/>
      <c r="D23" s="52"/>
    </row>
    <row r="24" spans="1:11" ht="20" customHeight="1">
      <c r="A24" s="53"/>
      <c r="B24" s="53"/>
      <c r="C24" s="54"/>
      <c r="D24" s="53"/>
    </row>
    <row r="25" spans="1:11" ht="20" customHeight="1">
      <c r="A25" s="53"/>
      <c r="B25" s="53"/>
      <c r="C25" s="54"/>
      <c r="D25" s="53"/>
    </row>
    <row r="26" spans="1:11" ht="20" customHeight="1">
      <c r="A26" s="53"/>
      <c r="B26" s="53"/>
      <c r="C26" s="54"/>
      <c r="D26" s="53"/>
    </row>
    <row r="27" spans="1:11" ht="20" customHeight="1">
      <c r="A27" s="53"/>
      <c r="B27" s="53"/>
      <c r="C27" s="54"/>
      <c r="D27" s="53"/>
    </row>
    <row r="28" spans="1:11" ht="20" customHeight="1">
      <c r="A28" s="53"/>
      <c r="B28" s="53"/>
      <c r="C28" s="54"/>
      <c r="D28" s="53"/>
    </row>
    <row r="29" spans="1:11" ht="20" customHeight="1">
      <c r="A29" s="55"/>
      <c r="B29" s="55"/>
      <c r="C29" s="54"/>
      <c r="D29" s="53"/>
    </row>
    <row r="30" spans="1:11" ht="20" customHeight="1">
      <c r="A30" s="56"/>
      <c r="B30" s="56"/>
      <c r="C30" s="54"/>
      <c r="D30" s="53"/>
    </row>
    <row r="31" spans="1:11" ht="20" customHeight="1">
      <c r="A31" s="51"/>
      <c r="B31" s="51"/>
      <c r="D31" s="52"/>
    </row>
  </sheetData>
  <mergeCells count="25">
    <mergeCell ref="A21:D21"/>
    <mergeCell ref="A16:D16"/>
    <mergeCell ref="E16:H16"/>
    <mergeCell ref="A18:D18"/>
    <mergeCell ref="A19:D19"/>
    <mergeCell ref="A20:D20"/>
    <mergeCell ref="A14:D14"/>
    <mergeCell ref="E14:H14"/>
    <mergeCell ref="J3:J4"/>
    <mergeCell ref="K3:K4"/>
    <mergeCell ref="A5:D5"/>
    <mergeCell ref="E5:H5"/>
    <mergeCell ref="A8:D8"/>
    <mergeCell ref="E8:H8"/>
    <mergeCell ref="E3:I3"/>
    <mergeCell ref="A10:D10"/>
    <mergeCell ref="E10:H10"/>
    <mergeCell ref="A12:D12"/>
    <mergeCell ref="E12:H12"/>
    <mergeCell ref="B3:B4"/>
    <mergeCell ref="A1:D1"/>
    <mergeCell ref="A2:D2"/>
    <mergeCell ref="A3:A4"/>
    <mergeCell ref="C3:C4"/>
    <mergeCell ref="D3:D4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"/>
  <sheetViews>
    <sheetView workbookViewId="0">
      <selection activeCell="H13" sqref="H13"/>
    </sheetView>
  </sheetViews>
  <sheetFormatPr defaultColWidth="8.86328125" defaultRowHeight="20" customHeight="1"/>
  <cols>
    <col min="1" max="1" width="4.1328125" style="15" customWidth="1"/>
    <col min="2" max="2" width="5.53125" style="16" customWidth="1"/>
    <col min="3" max="3" width="12.6640625" style="16" customWidth="1"/>
    <col min="4" max="4" width="21.19921875" style="16" customWidth="1"/>
    <col min="5" max="6" width="7.53125" style="15" customWidth="1"/>
    <col min="7" max="7" width="14.19921875" style="15" customWidth="1"/>
    <col min="8" max="8" width="13.19921875" style="15" customWidth="1"/>
    <col min="9" max="9" width="11.86328125" style="15" customWidth="1"/>
    <col min="10" max="16384" width="8.86328125" style="15"/>
  </cols>
  <sheetData>
    <row r="1" spans="2:9" ht="13.8" customHeight="1"/>
    <row r="2" spans="2:9" ht="28.25" customHeight="1">
      <c r="B2" s="74" t="s">
        <v>24</v>
      </c>
      <c r="C2" s="74"/>
      <c r="D2" s="74"/>
      <c r="E2" s="74"/>
      <c r="F2" s="74"/>
      <c r="G2" s="74"/>
      <c r="H2" s="74"/>
      <c r="I2" s="74"/>
    </row>
    <row r="3" spans="2:9" ht="20" customHeight="1">
      <c r="B3" s="17" t="s">
        <v>25</v>
      </c>
      <c r="C3" s="17" t="s">
        <v>2</v>
      </c>
      <c r="D3" s="17" t="s">
        <v>26</v>
      </c>
      <c r="E3" s="17" t="s">
        <v>9</v>
      </c>
      <c r="F3" s="17" t="s">
        <v>8</v>
      </c>
      <c r="G3" s="17" t="s">
        <v>10</v>
      </c>
      <c r="H3" s="17" t="s">
        <v>27</v>
      </c>
      <c r="I3" s="17"/>
    </row>
    <row r="4" spans="2:9" ht="20" customHeight="1">
      <c r="B4" s="17">
        <v>1</v>
      </c>
      <c r="C4" s="17" t="s">
        <v>28</v>
      </c>
      <c r="D4" s="17" t="s">
        <v>29</v>
      </c>
      <c r="E4" s="17">
        <v>2</v>
      </c>
      <c r="F4" s="17" t="s">
        <v>30</v>
      </c>
      <c r="G4" s="17">
        <v>1200</v>
      </c>
      <c r="H4" s="18">
        <f>E4*G4</f>
        <v>2400</v>
      </c>
      <c r="I4" s="18"/>
    </row>
    <row r="5" spans="2:9" ht="20" customHeight="1">
      <c r="B5" s="17">
        <v>2</v>
      </c>
      <c r="C5" s="17" t="s">
        <v>31</v>
      </c>
      <c r="D5" s="17" t="s">
        <v>32</v>
      </c>
      <c r="E5" s="17">
        <v>2</v>
      </c>
      <c r="F5" s="17" t="s">
        <v>33</v>
      </c>
      <c r="G5" s="17">
        <v>800</v>
      </c>
      <c r="H5" s="18">
        <f t="shared" ref="H5:H7" si="0">E5*G5</f>
        <v>1600</v>
      </c>
      <c r="I5" s="18"/>
    </row>
    <row r="6" spans="2:9" ht="20" customHeight="1">
      <c r="B6" s="17">
        <v>3</v>
      </c>
      <c r="C6" s="17" t="s">
        <v>34</v>
      </c>
      <c r="D6" s="17" t="s">
        <v>35</v>
      </c>
      <c r="E6" s="17">
        <v>1</v>
      </c>
      <c r="F6" s="17" t="s">
        <v>14</v>
      </c>
      <c r="G6" s="17">
        <v>400</v>
      </c>
      <c r="H6" s="18">
        <f t="shared" si="0"/>
        <v>400</v>
      </c>
      <c r="I6" s="18"/>
    </row>
    <row r="7" spans="2:9" ht="20" customHeight="1">
      <c r="B7" s="17">
        <v>4</v>
      </c>
      <c r="C7" s="17" t="s">
        <v>36</v>
      </c>
      <c r="D7" s="17"/>
      <c r="E7" s="17">
        <v>2</v>
      </c>
      <c r="F7" s="17" t="s">
        <v>33</v>
      </c>
      <c r="G7" s="17">
        <v>150</v>
      </c>
      <c r="H7" s="18">
        <f t="shared" si="0"/>
        <v>300</v>
      </c>
      <c r="I7" s="18"/>
    </row>
    <row r="8" spans="2:9" ht="20" customHeight="1">
      <c r="B8" s="75" t="s">
        <v>37</v>
      </c>
      <c r="C8" s="76"/>
      <c r="D8" s="76"/>
      <c r="E8" s="76"/>
      <c r="F8" s="76"/>
      <c r="G8" s="77"/>
      <c r="H8" s="18">
        <f>SUM(H4:H7)</f>
        <v>4700</v>
      </c>
      <c r="I8" s="18"/>
    </row>
  </sheetData>
  <mergeCells count="2">
    <mergeCell ref="B2:I2"/>
    <mergeCell ref="B8:G8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selection activeCell="F19" sqref="F19"/>
    </sheetView>
  </sheetViews>
  <sheetFormatPr defaultColWidth="8.86328125" defaultRowHeight="20" customHeight="1"/>
  <cols>
    <col min="1" max="1" width="11.86328125" style="1" customWidth="1"/>
    <col min="2" max="2" width="15" style="1" customWidth="1"/>
    <col min="3" max="3" width="14.46484375" style="1" customWidth="1"/>
    <col min="4" max="4" width="17.6640625" style="1" customWidth="1"/>
    <col min="5" max="5" width="26.53125" style="1" customWidth="1"/>
    <col min="6" max="6" width="18.6640625" style="1" customWidth="1"/>
    <col min="7" max="9" width="8.86328125" style="1"/>
    <col min="10" max="10" width="13.33203125" style="1" customWidth="1"/>
    <col min="11" max="11" width="15" style="1" customWidth="1"/>
    <col min="12" max="12" width="18.86328125" style="1" customWidth="1"/>
    <col min="13" max="16384" width="8.86328125" style="1"/>
  </cols>
  <sheetData>
    <row r="1" spans="1:12" ht="33" customHeight="1">
      <c r="A1" s="83" t="s">
        <v>38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2" ht="14.65">
      <c r="A2" s="80" t="s">
        <v>39</v>
      </c>
      <c r="B2" s="80" t="s">
        <v>40</v>
      </c>
      <c r="C2" s="80" t="s">
        <v>41</v>
      </c>
      <c r="D2" s="80" t="s">
        <v>42</v>
      </c>
      <c r="E2" s="80" t="s">
        <v>43</v>
      </c>
      <c r="F2" s="80" t="s">
        <v>44</v>
      </c>
      <c r="G2" s="82" t="s">
        <v>45</v>
      </c>
      <c r="H2" s="82"/>
      <c r="I2" s="82"/>
      <c r="J2" s="80" t="s">
        <v>46</v>
      </c>
      <c r="K2" s="80" t="s">
        <v>47</v>
      </c>
      <c r="L2" s="80" t="s">
        <v>48</v>
      </c>
    </row>
    <row r="3" spans="1:12" ht="14.65">
      <c r="A3" s="80"/>
      <c r="B3" s="80"/>
      <c r="C3" s="82"/>
      <c r="D3" s="82"/>
      <c r="E3" s="82"/>
      <c r="F3" s="82"/>
      <c r="G3" s="2" t="s">
        <v>49</v>
      </c>
      <c r="H3" s="2" t="s">
        <v>50</v>
      </c>
      <c r="I3" s="2" t="s">
        <v>51</v>
      </c>
      <c r="J3" s="82"/>
      <c r="K3" s="82"/>
      <c r="L3" s="82"/>
    </row>
    <row r="4" spans="1:12" ht="13.9">
      <c r="A4" s="81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4">
        <v>1651582</v>
      </c>
      <c r="G4" s="5">
        <v>2</v>
      </c>
      <c r="H4" s="5">
        <v>6</v>
      </c>
      <c r="I4" s="5">
        <v>0</v>
      </c>
      <c r="J4" s="10">
        <f>SUM(G4:I4)</f>
        <v>8</v>
      </c>
      <c r="K4" s="11">
        <f>J4/1850</f>
        <v>4.3243243243243201E-3</v>
      </c>
      <c r="L4" s="12">
        <f>K4*F4</f>
        <v>7141.9762162162197</v>
      </c>
    </row>
    <row r="5" spans="1:12" ht="13.9">
      <c r="A5" s="81"/>
      <c r="B5" s="3" t="s">
        <v>57</v>
      </c>
      <c r="C5" s="6" t="s">
        <v>0</v>
      </c>
      <c r="D5" s="6" t="s">
        <v>58</v>
      </c>
      <c r="E5" s="6" t="s">
        <v>59</v>
      </c>
      <c r="F5" s="4">
        <v>1032240</v>
      </c>
      <c r="G5" s="5">
        <v>6</v>
      </c>
      <c r="H5" s="5">
        <v>25</v>
      </c>
      <c r="I5" s="5">
        <v>2</v>
      </c>
      <c r="J5" s="10">
        <f>SUM(G5:I5)</f>
        <v>33</v>
      </c>
      <c r="K5" s="11">
        <f>J5/1850</f>
        <v>1.7837837837837801E-2</v>
      </c>
      <c r="L5" s="12">
        <f>K5*F5</f>
        <v>18412.929729729702</v>
      </c>
    </row>
    <row r="6" spans="1:12" ht="14.65">
      <c r="A6" s="81"/>
      <c r="B6" s="84"/>
      <c r="C6" s="84"/>
      <c r="D6" s="84"/>
      <c r="E6" s="84"/>
      <c r="F6" s="84"/>
      <c r="G6" s="84"/>
      <c r="H6" s="84"/>
      <c r="I6" s="84"/>
      <c r="J6" s="85" t="s">
        <v>60</v>
      </c>
      <c r="K6" s="85"/>
      <c r="L6" s="13">
        <f>SUM(L4:L5)</f>
        <v>25554.905945945899</v>
      </c>
    </row>
    <row r="7" spans="1:12" ht="14.65">
      <c r="A7" s="81"/>
      <c r="B7" s="86"/>
      <c r="C7" s="86"/>
      <c r="D7" s="86"/>
      <c r="E7" s="86"/>
      <c r="F7" s="86"/>
      <c r="G7" s="86"/>
      <c r="H7" s="86"/>
      <c r="I7" s="86"/>
      <c r="J7" s="85" t="s">
        <v>61</v>
      </c>
      <c r="K7" s="85"/>
      <c r="L7" s="13">
        <f>L6*1.0677</f>
        <v>27284.973078486499</v>
      </c>
    </row>
    <row r="8" spans="1:12" ht="14.65">
      <c r="A8" s="81"/>
      <c r="B8" s="78" t="s">
        <v>62</v>
      </c>
      <c r="C8" s="78"/>
      <c r="D8" s="78"/>
      <c r="E8" s="78"/>
      <c r="F8" s="78"/>
      <c r="G8" s="78"/>
      <c r="H8" s="78"/>
      <c r="I8" s="78"/>
      <c r="J8" s="79" t="s">
        <v>63</v>
      </c>
      <c r="K8" s="79"/>
      <c r="L8" s="14">
        <f>L7/1.06</f>
        <v>25740.540640081599</v>
      </c>
    </row>
    <row r="11" spans="1:12" ht="14.25">
      <c r="B11" s="7" t="s">
        <v>64</v>
      </c>
      <c r="C11" s="7" t="s">
        <v>64</v>
      </c>
      <c r="D11" s="7" t="s">
        <v>65</v>
      </c>
      <c r="E11" s="8">
        <v>3901156</v>
      </c>
    </row>
    <row r="12" spans="1:12" ht="14.25">
      <c r="B12" s="9" t="s">
        <v>55</v>
      </c>
      <c r="C12" s="9" t="s">
        <v>55</v>
      </c>
      <c r="D12" s="9" t="s">
        <v>66</v>
      </c>
      <c r="E12" s="8">
        <v>1651582</v>
      </c>
    </row>
    <row r="13" spans="1:12" ht="14.25">
      <c r="B13" s="9" t="s">
        <v>58</v>
      </c>
      <c r="C13" s="9" t="s">
        <v>58</v>
      </c>
      <c r="D13" s="9" t="s">
        <v>67</v>
      </c>
      <c r="E13" s="8">
        <v>1032240</v>
      </c>
    </row>
    <row r="14" spans="1:12" ht="14.25">
      <c r="B14" s="9" t="s">
        <v>68</v>
      </c>
      <c r="C14" s="9" t="s">
        <v>68</v>
      </c>
      <c r="D14" s="9" t="s">
        <v>69</v>
      </c>
      <c r="E14" s="8">
        <v>619343</v>
      </c>
    </row>
    <row r="15" spans="1:12" ht="14.25">
      <c r="B15" s="9" t="s">
        <v>70</v>
      </c>
      <c r="C15" s="9" t="s">
        <v>70</v>
      </c>
      <c r="D15" s="9" t="s">
        <v>71</v>
      </c>
      <c r="E15" s="8">
        <v>412897</v>
      </c>
    </row>
  </sheetData>
  <mergeCells count="18">
    <mergeCell ref="A1:L1"/>
    <mergeCell ref="G2:I2"/>
    <mergeCell ref="B6:I6"/>
    <mergeCell ref="J6:K6"/>
    <mergeCell ref="B7:I7"/>
    <mergeCell ref="J7:K7"/>
    <mergeCell ref="L2:L3"/>
    <mergeCell ref="B8:I8"/>
    <mergeCell ref="J8:K8"/>
    <mergeCell ref="A2:A3"/>
    <mergeCell ref="A4:A8"/>
    <mergeCell ref="B2:B3"/>
    <mergeCell ref="C2:C3"/>
    <mergeCell ref="D2:D3"/>
    <mergeCell ref="E2:E3"/>
    <mergeCell ref="F2:F3"/>
    <mergeCell ref="J2:J3"/>
    <mergeCell ref="K2:K3"/>
  </mergeCells>
  <phoneticPr fontId="2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报价单</vt:lpstr>
      <vt:lpstr>Cheil差旅费</vt:lpstr>
      <vt:lpstr>Cheil fee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海茹 刘</cp:lastModifiedBy>
  <cp:lastPrinted>2024-08-19T10:51:00Z</cp:lastPrinted>
  <dcterms:created xsi:type="dcterms:W3CDTF">2017-03-17T11:10:00Z</dcterms:created>
  <dcterms:modified xsi:type="dcterms:W3CDTF">2026-04-03T02:33:59Z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KSOProductBuildVer">
    <vt:lpwstr>2052-12.1.0.20305</vt:lpwstr>
  </property>
  <property fmtid="{D5CDD505-2E9C-101B-9397-08002B2CF9AE}" pid="4" name="ICV">
    <vt:lpwstr>36AD719088E145EB8446D465D2ED5BB2_13</vt:lpwstr>
  </property>
</Properties>
</file>